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70d581a10b77b8/Desktop/nandu/TASK/"/>
    </mc:Choice>
  </mc:AlternateContent>
  <xr:revisionPtr revIDLastSave="131" documentId="8_{AEC83968-B97F-4823-B79A-5429DE120B39}" xr6:coauthVersionLast="47" xr6:coauthVersionMax="47" xr10:uidLastSave="{4E03628D-FB32-4113-AE11-9600F56C0D5F}"/>
  <workbookProtection workbookAlgorithmName="SHA-512" workbookHashValue="W4w8svNmqb95nkhrdwEz5JA+trRljiOQxa4bTtBmTVlUGkKYGFaZlm5KpLMIKwBrX/GWAXSEfPcXMyVLjTKxiQ==" workbookSaltValue="DKFv3wNcNfJr+aycB4tXwA==" workbookSpinCount="100000" lockStructure="1"/>
  <bookViews>
    <workbookView xWindow="-108" yWindow="-108" windowWidth="23256" windowHeight="13896" activeTab="1" xr2:uid="{73182525-C934-47F6-A6E3-9D7E2119B4B3}"/>
  </bookViews>
  <sheets>
    <sheet name="Pivot_Analysis" sheetId="7" r:id="rId1"/>
    <sheet name="Executive_Dashboard" sheetId="8" r:id="rId2"/>
    <sheet name="Clean_Data_Warehouse" sheetId="4" r:id="rId3"/>
    <sheet name="Raw Orders" sheetId="1" r:id="rId4"/>
    <sheet name="Table2" sheetId="5" r:id="rId5"/>
    <sheet name="Master_Customers" sheetId="2" r:id="rId6"/>
    <sheet name="Table3" sheetId="6" r:id="rId7"/>
    <sheet name="Product_Catalog" sheetId="3" r:id="rId8"/>
  </sheets>
  <definedNames>
    <definedName name="ExternalData_1" localSheetId="2" hidden="1">Clean_Data_Warehouse!$A$1:$G$8</definedName>
    <definedName name="ExternalData_1" localSheetId="4" hidden="1">Table2!$A$1:$C$6</definedName>
    <definedName name="ExternalData_1" localSheetId="6" hidden="1">Table3!$A$1:$B$4</definedName>
  </definedNames>
  <calcPr calcId="191029"/>
  <pivotCaches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" l="1"/>
  <c r="E2" i="8"/>
  <c r="J2" i="4"/>
  <c r="J3" i="4"/>
  <c r="J4" i="4"/>
  <c r="J5" i="4"/>
  <c r="J6" i="4"/>
  <c r="J7" i="4"/>
  <c r="J8" i="4"/>
  <c r="I2" i="4"/>
  <c r="I3" i="4"/>
  <c r="I4" i="4"/>
  <c r="I5" i="4"/>
  <c r="I6" i="4"/>
  <c r="I7" i="4"/>
  <c r="I8" i="4"/>
  <c r="H2" i="4"/>
  <c r="H3" i="4"/>
  <c r="H4" i="4"/>
  <c r="H5" i="4"/>
  <c r="H6" i="4"/>
  <c r="H7" i="4"/>
  <c r="H8" i="4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0E9BC2-C76B-4C53-81FA-B2B19C8F4B5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1E04231-863B-4B24-8A2D-F970271E730B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027C5F57-AEDC-415B-9E9B-A53E0C727F78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<sst xmlns="http://schemas.openxmlformats.org/spreadsheetml/2006/main" count="143" uniqueCount="47">
  <si>
    <t>Order_ID</t>
  </si>
  <si>
    <t>Customer_ID</t>
  </si>
  <si>
    <t>Product_Code</t>
  </si>
  <si>
    <t>Units_Sold</t>
  </si>
  <si>
    <t>TXN-101</t>
  </si>
  <si>
    <t>C-901</t>
  </si>
  <si>
    <t>PROD-9921-X</t>
  </si>
  <si>
    <t>TXN-102</t>
  </si>
  <si>
    <t>C-904</t>
  </si>
  <si>
    <t>PROD-4012-M</t>
  </si>
  <si>
    <t>TXN-103</t>
  </si>
  <si>
    <t>C-902</t>
  </si>
  <si>
    <t>TXN-104</t>
  </si>
  <si>
    <t>PROD-8815-S</t>
  </si>
  <si>
    <t>TXN-105</t>
  </si>
  <si>
    <t>C-903</t>
  </si>
  <si>
    <t>TXN-106</t>
  </si>
  <si>
    <t>TXN-107</t>
  </si>
  <si>
    <t>C-905</t>
  </si>
  <si>
    <t>Customer_Name</t>
  </si>
  <si>
    <t>Region</t>
  </si>
  <si>
    <t>Acme Retail</t>
  </si>
  <si>
    <t>North</t>
  </si>
  <si>
    <t>Nexus Logistics</t>
  </si>
  <si>
    <t>West</t>
  </si>
  <si>
    <t>Apex Systems</t>
  </si>
  <si>
    <t>East</t>
  </si>
  <si>
    <t>Beacon Tech</t>
  </si>
  <si>
    <t>South</t>
  </si>
  <si>
    <t>Horizon Group</t>
  </si>
  <si>
    <t>Base_Price</t>
  </si>
  <si>
    <t>Table2.Customer_Name</t>
  </si>
  <si>
    <t>Table2.Region</t>
  </si>
  <si>
    <t>Table3.Base_Price</t>
  </si>
  <si>
    <t>Product_Type</t>
  </si>
  <si>
    <t>Gross_Revenue</t>
  </si>
  <si>
    <t>Order_Tier</t>
  </si>
  <si>
    <t>Row Labels</t>
  </si>
  <si>
    <t>Grand Total</t>
  </si>
  <si>
    <t>Column Labels</t>
  </si>
  <si>
    <t>High-Value</t>
  </si>
  <si>
    <t>Low-Value</t>
  </si>
  <si>
    <t>Standard</t>
  </si>
  <si>
    <t>Sum of Gross_Revenue</t>
  </si>
  <si>
    <t>TOTAL REVENUE</t>
  </si>
  <si>
    <t>TOTAL UNITS SOLD</t>
  </si>
  <si>
    <t>TOTAL ORDER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</si>
</sst>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9.6"/>
      <color theme="1"/>
      <name val="Arial"/>
      <family val="2"/>
    </font>
    <font>
      <sz val="9.6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Inherit"/>
    </font>
    <font>
      <b/>
      <sz val="14"/>
      <color theme="3" tint="0.249977111117893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36"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Performance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Pivot_Analysis!$G$6:$G$10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Pivot_Analysis!$H$6:$H$10</c:f>
              <c:numCache>
                <c:formatCode>General</c:formatCode>
                <c:ptCount val="4"/>
                <c:pt idx="0">
                  <c:v>45</c:v>
                </c:pt>
                <c:pt idx="1">
                  <c:v>1430</c:v>
                </c:pt>
                <c:pt idx="2">
                  <c:v>540</c:v>
                </c:pt>
                <c:pt idx="3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9-4A85-A86C-D525D0FD0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136767"/>
        <c:axId val="18175887"/>
      </c:barChart>
      <c:catAx>
        <c:axId val="895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887"/>
        <c:crosses val="autoZero"/>
        <c:auto val="1"/>
        <c:lblAlgn val="ctr"/>
        <c:lblOffset val="100"/>
        <c:noMultiLvlLbl val="0"/>
      </c:catAx>
      <c:valAx>
        <c:axId val="1817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114300</xdr:rowOff>
    </xdr:from>
    <xdr:to>
      <xdr:col>8</xdr:col>
      <xdr:colOff>723900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325755-A3FA-43CA-A16F-72CB7FBAB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eeth" refreshedDate="46304.631855439817" createdVersion="8" refreshedVersion="8" minRefreshableVersion="3" recordCount="7" xr:uid="{F1A0DE24-0228-4C6D-9164-379F137E6101}">
  <cacheSource type="worksheet">
    <worksheetSource name="Table1_1"/>
  </cacheSource>
  <cacheFields count="10">
    <cacheField name="Order_ID" numFmtId="0">
      <sharedItems/>
    </cacheField>
    <cacheField name="Customer_ID" numFmtId="0">
      <sharedItems/>
    </cacheField>
    <cacheField name="Product_Code" numFmtId="0">
      <sharedItems/>
    </cacheField>
    <cacheField name="Units_Sold" numFmtId="0">
      <sharedItems containsSemiMixedTypes="0" containsString="0" containsNumber="1" containsInteger="1" minValue="1" maxValue="15"/>
    </cacheField>
    <cacheField name="Table2.Customer_Name" numFmtId="0">
      <sharedItems count="5">
        <s v="Acme Retail"/>
        <s v="Nexus Logistics"/>
        <s v="Beacon Tech"/>
        <s v="Apex Systems"/>
        <s v="Horizon Group"/>
      </sharedItems>
    </cacheField>
    <cacheField name="Table2.Region" numFmtId="0">
      <sharedItems count="4">
        <s v="North"/>
        <s v="West"/>
        <s v="South"/>
        <s v="East"/>
      </sharedItems>
    </cacheField>
    <cacheField name="Table3.Base_Price" numFmtId="0">
      <sharedItems containsSemiMixedTypes="0" containsString="0" containsNumber="1" containsInteger="1" minValue="45" maxValue="150"/>
    </cacheField>
    <cacheField name="Product_Type" numFmtId="0">
      <sharedItems/>
    </cacheField>
    <cacheField name="Gross_Revenue" numFmtId="0">
      <sharedItems containsSemiMixedTypes="0" containsString="0" containsNumber="1" containsInteger="1" minValue="45" maxValue="1275"/>
    </cacheField>
    <cacheField name="Order_Tier" numFmtId="0">
      <sharedItems count="3">
        <s v="Standard"/>
        <s v="High-Value"/>
        <s v="Low-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TXN-101"/>
    <s v="C-901"/>
    <s v="PROD-9921-X"/>
    <n v="5"/>
    <x v="0"/>
    <x v="0"/>
    <n v="150"/>
    <s v="9921"/>
    <n v="750"/>
    <x v="0"/>
  </r>
  <r>
    <s v="TXN-103"/>
    <s v="C-902"/>
    <s v="PROD-9921-X"/>
    <n v="2"/>
    <x v="1"/>
    <x v="1"/>
    <n v="150"/>
    <s v="9921"/>
    <n v="300"/>
    <x v="0"/>
  </r>
  <r>
    <s v="TXN-104"/>
    <s v="C-901"/>
    <s v="PROD-8815-S"/>
    <n v="8"/>
    <x v="0"/>
    <x v="0"/>
    <n v="85"/>
    <s v="8815"/>
    <n v="680"/>
    <x v="0"/>
  </r>
  <r>
    <s v="TXN-102"/>
    <s v="C-904"/>
    <s v="PROD-4012-M"/>
    <n v="12"/>
    <x v="2"/>
    <x v="2"/>
    <n v="45"/>
    <s v="4012"/>
    <n v="540"/>
    <x v="0"/>
  </r>
  <r>
    <s v="TXN-106"/>
    <s v="C-902"/>
    <s v="PROD-8815-S"/>
    <n v="15"/>
    <x v="1"/>
    <x v="1"/>
    <n v="85"/>
    <s v="8815"/>
    <n v="1275"/>
    <x v="1"/>
  </r>
  <r>
    <s v="TXN-105"/>
    <s v="C-903"/>
    <s v="PROD-4012-M"/>
    <n v="1"/>
    <x v="3"/>
    <x v="3"/>
    <n v="45"/>
    <s v="4012"/>
    <n v="45"/>
    <x v="2"/>
  </r>
  <r>
    <s v="TXN-107"/>
    <s v="C-905"/>
    <s v="PROD-9921-X"/>
    <n v="4"/>
    <x v="4"/>
    <x v="1"/>
    <n v="150"/>
    <s v="9921"/>
    <n v="6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2983C-931A-43EE-87B0-B39A545106A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5:H10" firstHeaderRow="1" firstDataRow="1" firstDataCol="1"/>
  <pivotFields count="10">
    <pivotField showAll="0"/>
    <pivotField showAll="0"/>
    <pivotField showAll="0"/>
    <pivotField showAll="0"/>
    <pivotField showAll="0">
      <items count="6">
        <item x="0"/>
        <item x="3"/>
        <item x="2"/>
        <item x="4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>
      <items count="4">
        <item x="1"/>
        <item x="2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ss_Revenue" fld="8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AC627-3760-46EA-8D8A-B96B39FE1E8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1" firstDataRow="2" firstDataCol="1"/>
  <pivotFields count="10"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axis="axisCol" showAll="0">
      <items count="4">
        <item x="1"/>
        <item x="2"/>
        <item x="0"/>
        <item t="default"/>
      </items>
    </pivotField>
  </pivotFields>
  <rowFields count="2">
    <field x="5"/>
    <field x="4"/>
  </rowFields>
  <rowItems count="10">
    <i>
      <x/>
    </i>
    <i r="1">
      <x v="1"/>
    </i>
    <i>
      <x v="1"/>
    </i>
    <i r="1">
      <x/>
    </i>
    <i>
      <x v="2"/>
    </i>
    <i r="1">
      <x v="2"/>
    </i>
    <i>
      <x v="3"/>
    </i>
    <i r="1">
      <x v="3"/>
    </i>
    <i r="1"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Gross_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112D66-FDD0-4ACD-9484-82BA49271C6C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Order_ID" tableColumnId="1"/>
      <queryTableField id="2" name="Customer_ID" tableColumnId="2"/>
      <queryTableField id="3" name="Product_Code" tableColumnId="3"/>
      <queryTableField id="4" name="Units_Sold" tableColumnId="4"/>
      <queryTableField id="5" name="Table2.Customer_Name" tableColumnId="5"/>
      <queryTableField id="6" name="Table2.Region" tableColumnId="6"/>
      <queryTableField id="7" name="Table3.Base_Price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450070-FFD9-4961-A12C-9963177C45E2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ustomer_Name" tableColumnId="2"/>
      <queryTableField id="3" name="Reg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8BC26BF-DCA1-4AB7-BD98-3C7D3419179C}" autoFormatId="16" applyNumberFormats="0" applyBorderFormats="0" applyFontFormats="0" applyPatternFormats="0" applyAlignmentFormats="0" applyWidthHeightFormats="0">
  <queryTableRefresh nextId="3">
    <queryTableFields count="2">
      <queryTableField id="1" name="Base_Price" tableColumnId="1"/>
      <queryTableField id="2" name="Product_Cod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BCFB47-465B-4680-AC84-D5FAB943E2A4}" name="Table1_1" displayName="Table1_1" ref="A1:J8" tableType="queryTable" totalsRowShown="0">
  <autoFilter ref="A1:J8" xr:uid="{B0BCFB47-465B-4680-AC84-D5FAB943E2A4}"/>
  <tableColumns count="10">
    <tableColumn id="1" xr3:uid="{7C842FDD-0C9C-4A59-873D-CADF89F91140}" uniqueName="1" name="Order_ID" queryTableFieldId="1" dataDxfId="10"/>
    <tableColumn id="2" xr3:uid="{F69FB90F-3467-4F6F-AEA3-864F6ABF06C3}" uniqueName="2" name="Customer_ID" queryTableFieldId="2" dataDxfId="9"/>
    <tableColumn id="3" xr3:uid="{963BE7C5-367E-47DC-9084-F8842C64642C}" uniqueName="3" name="Product_Code" queryTableFieldId="3" dataDxfId="8"/>
    <tableColumn id="4" xr3:uid="{7F0E388E-FE99-4C28-AD3A-9CC00BE1C0BA}" uniqueName="4" name="Units_Sold" queryTableFieldId="4"/>
    <tableColumn id="5" xr3:uid="{F24202AA-544F-45C1-9BED-1B6579E88528}" uniqueName="5" name="Table2.Customer_Name" queryTableFieldId="5" dataDxfId="7"/>
    <tableColumn id="6" xr3:uid="{EEE20F62-4E50-4E99-9B0C-F8DA45A287E6}" uniqueName="6" name="Table2.Region" queryTableFieldId="6" dataDxfId="6"/>
    <tableColumn id="7" xr3:uid="{5C95616E-28A9-430B-86D0-546B774B3554}" uniqueName="7" name="Table3.Base_Price" queryTableFieldId="7"/>
    <tableColumn id="8" xr3:uid="{BC803F24-C7D0-4C51-9C47-7F4F9979BBB9}" uniqueName="8" name="Product_Type" queryTableFieldId="8" dataDxfId="5">
      <calculatedColumnFormula>MID(C2,6,4)</calculatedColumnFormula>
    </tableColumn>
    <tableColumn id="9" xr3:uid="{37D8C536-8059-4E6F-95AE-227D7A63789C}" uniqueName="9" name="Gross_Revenue" queryTableFieldId="9" dataDxfId="4">
      <calculatedColumnFormula>D2*G2</calculatedColumnFormula>
    </tableColumn>
    <tableColumn id="10" xr3:uid="{D7535823-2482-4722-A524-B2AF5334A0E7}" uniqueName="10" name="Order_Tier" queryTableFieldId="10" dataDxfId="3">
      <calculatedColumnFormula>IF(I2&gt;=1000,"High-Value",IF(I2&gt;=300,"Standard","Low-Value"))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837F1-E188-4A6D-8366-0663FDABD873}" name="Table1" displayName="Table1" ref="A1:D8" totalsRowShown="0" headerRowDxfId="28" headerRowBorderDxfId="34" tableBorderDxfId="35" totalsRowBorderDxfId="33">
  <autoFilter ref="A1:D8" xr:uid="{294837F1-E188-4A6D-8366-0663FDABD873}"/>
  <tableColumns count="4">
    <tableColumn id="1" xr3:uid="{FC34DB3C-2F1C-47B4-834E-8DB07D58F730}" name="Order_ID" dataDxfId="32"/>
    <tableColumn id="2" xr3:uid="{BF4E4E91-D1A2-4964-BA16-8D0D72237AC3}" name="Customer_ID" dataDxfId="31"/>
    <tableColumn id="3" xr3:uid="{459327FE-5AA0-40EE-80C6-ED4870D728C8}" name="Product_Code" dataDxfId="30"/>
    <tableColumn id="4" xr3:uid="{26B39222-842A-45B5-96F7-200423F395A1}" name="Units_Sold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994DA7-98C5-4DB0-AC2F-81760761A6B1}" name="Table2_1" displayName="Table2_1" ref="A1:C6" tableType="queryTable" totalsRowShown="0">
  <autoFilter ref="A1:C6" xr:uid="{40994DA7-98C5-4DB0-AC2F-81760761A6B1}"/>
  <tableColumns count="3">
    <tableColumn id="1" xr3:uid="{59805F7B-4ACE-4BBD-8010-75D786B05384}" uniqueName="1" name="Customer_ID" queryTableFieldId="1" dataDxfId="14"/>
    <tableColumn id="2" xr3:uid="{58D4087F-ACC3-4D50-BAD2-8AF5004A4423}" uniqueName="2" name="Customer_Name" queryTableFieldId="2" dataDxfId="13"/>
    <tableColumn id="3" xr3:uid="{C7B1930C-ADD5-4EC0-998E-DF03C04BE086}" uniqueName="3" name="Region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02A920-DF9A-4261-A4EB-79E0CD331A6D}" name="Table2" displayName="Table2" ref="A1:C6" totalsRowShown="0" headerRowDxfId="21" headerRowBorderDxfId="26" tableBorderDxfId="27" totalsRowBorderDxfId="25">
  <autoFilter ref="A1:C6" xr:uid="{6602A920-DF9A-4261-A4EB-79E0CD331A6D}"/>
  <tableColumns count="3">
    <tableColumn id="1" xr3:uid="{E0E02FE3-C58F-4148-B897-EE011B45FD00}" name="Customer_ID" dataDxfId="24"/>
    <tableColumn id="2" xr3:uid="{3E849570-B95C-43A3-A3E3-94DB2437C595}" name="Customer_Name" dataDxfId="23"/>
    <tableColumn id="3" xr3:uid="{861F0656-ABD0-41F5-930A-D74975EC15C8}" name="Region" dataDxfId="2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40A61E-64FB-4982-BB34-4EB836542E0D}" name="Table3_1" displayName="Table3_1" ref="A1:B4" tableType="queryTable" totalsRowShown="0">
  <autoFilter ref="A1:B4" xr:uid="{E940A61E-64FB-4982-BB34-4EB836542E0D}"/>
  <tableColumns count="2">
    <tableColumn id="1" xr3:uid="{04A1FFC7-C846-43F8-97E6-57619270FDC1}" uniqueName="1" name="Base_Price" queryTableFieldId="1"/>
    <tableColumn id="2" xr3:uid="{AE939D8F-886A-4FDC-A98A-308A9CFFE3D5}" uniqueName="2" name="Product_Code" queryTableFieldId="2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70AB0E-0EAA-4EAE-9932-6046F961091C}" name="Table3" displayName="Table3" ref="A1:B4" totalsRowShown="0" headerRowDxfId="15" headerRowBorderDxfId="19" tableBorderDxfId="20" totalsRowBorderDxfId="18">
  <autoFilter ref="A1:B4" xr:uid="{1D70AB0E-0EAA-4EAE-9932-6046F961091C}"/>
  <tableColumns count="2">
    <tableColumn id="1" xr3:uid="{3BF0D796-39D6-4B80-A93F-BC318EA1E267}" name="Base_Price" dataDxfId="17"/>
    <tableColumn id="2" xr3:uid="{BB51160E-9825-4114-B34B-47D9D59D1C66}" name="Product_Code" data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2FAB-D766-449E-A93A-8D3CDAF54014}">
  <dimension ref="A3:H14"/>
  <sheetViews>
    <sheetView topLeftCell="A3" workbookViewId="0">
      <selection activeCell="G7" sqref="G7"/>
    </sheetView>
  </sheetViews>
  <sheetFormatPr defaultRowHeight="14.4"/>
  <cols>
    <col min="1" max="1" width="19.77734375" bestFit="1" customWidth="1"/>
    <col min="2" max="2" width="15.5546875" bestFit="1" customWidth="1"/>
    <col min="3" max="3" width="9.5546875" bestFit="1" customWidth="1"/>
    <col min="4" max="4" width="8.6640625" bestFit="1" customWidth="1"/>
    <col min="5" max="5" width="10.5546875" bestFit="1" customWidth="1"/>
    <col min="7" max="7" width="12.44140625" bestFit="1" customWidth="1"/>
    <col min="8" max="8" width="19.77734375" bestFit="1" customWidth="1"/>
    <col min="9" max="9" width="9.5546875" bestFit="1" customWidth="1"/>
    <col min="10" max="10" width="8.6640625" bestFit="1" customWidth="1"/>
    <col min="11" max="11" width="10.5546875" bestFit="1" customWidth="1"/>
  </cols>
  <sheetData>
    <row r="3" spans="1:8">
      <c r="A3" s="12" t="s">
        <v>43</v>
      </c>
      <c r="B3" s="12" t="s">
        <v>39</v>
      </c>
    </row>
    <row r="4" spans="1:8">
      <c r="A4" s="12" t="s">
        <v>37</v>
      </c>
      <c r="B4" t="s">
        <v>40</v>
      </c>
      <c r="C4" t="s">
        <v>41</v>
      </c>
      <c r="D4" t="s">
        <v>42</v>
      </c>
      <c r="E4" t="s">
        <v>38</v>
      </c>
    </row>
    <row r="5" spans="1:8">
      <c r="A5" s="13" t="s">
        <v>26</v>
      </c>
      <c r="B5" s="10"/>
      <c r="C5" s="10">
        <v>45</v>
      </c>
      <c r="D5" s="10"/>
      <c r="E5" s="10">
        <v>45</v>
      </c>
      <c r="G5" s="12" t="s">
        <v>37</v>
      </c>
      <c r="H5" t="s">
        <v>43</v>
      </c>
    </row>
    <row r="6" spans="1:8">
      <c r="A6" s="14" t="s">
        <v>25</v>
      </c>
      <c r="B6" s="10"/>
      <c r="C6" s="10">
        <v>45</v>
      </c>
      <c r="D6" s="10"/>
      <c r="E6" s="10">
        <v>45</v>
      </c>
      <c r="G6" s="13" t="s">
        <v>26</v>
      </c>
      <c r="H6" s="10">
        <v>45</v>
      </c>
    </row>
    <row r="7" spans="1:8">
      <c r="A7" s="13" t="s">
        <v>22</v>
      </c>
      <c r="B7" s="10"/>
      <c r="C7" s="10"/>
      <c r="D7" s="10">
        <v>1430</v>
      </c>
      <c r="E7" s="10">
        <v>1430</v>
      </c>
      <c r="G7" s="13" t="s">
        <v>22</v>
      </c>
      <c r="H7" s="10">
        <v>1430</v>
      </c>
    </row>
    <row r="8" spans="1:8">
      <c r="A8" s="14" t="s">
        <v>21</v>
      </c>
      <c r="B8" s="10"/>
      <c r="C8" s="10"/>
      <c r="D8" s="10">
        <v>1430</v>
      </c>
      <c r="E8" s="10">
        <v>1430</v>
      </c>
      <c r="G8" s="13" t="s">
        <v>28</v>
      </c>
      <c r="H8" s="10">
        <v>540</v>
      </c>
    </row>
    <row r="9" spans="1:8">
      <c r="A9" s="13" t="s">
        <v>28</v>
      </c>
      <c r="B9" s="10"/>
      <c r="C9" s="10"/>
      <c r="D9" s="10">
        <v>540</v>
      </c>
      <c r="E9" s="10">
        <v>540</v>
      </c>
      <c r="G9" s="13" t="s">
        <v>24</v>
      </c>
      <c r="H9" s="10">
        <v>2175</v>
      </c>
    </row>
    <row r="10" spans="1:8">
      <c r="A10" s="14" t="s">
        <v>27</v>
      </c>
      <c r="B10" s="10"/>
      <c r="C10" s="10"/>
      <c r="D10" s="10">
        <v>540</v>
      </c>
      <c r="E10" s="10">
        <v>540</v>
      </c>
      <c r="G10" s="13" t="s">
        <v>38</v>
      </c>
      <c r="H10" s="10">
        <v>4190</v>
      </c>
    </row>
    <row r="11" spans="1:8">
      <c r="A11" s="13" t="s">
        <v>24</v>
      </c>
      <c r="B11" s="10">
        <v>1275</v>
      </c>
      <c r="C11" s="10"/>
      <c r="D11" s="10">
        <v>900</v>
      </c>
      <c r="E11" s="10">
        <v>2175</v>
      </c>
    </row>
    <row r="12" spans="1:8">
      <c r="A12" s="14" t="s">
        <v>29</v>
      </c>
      <c r="B12" s="10"/>
      <c r="C12" s="10"/>
      <c r="D12" s="10">
        <v>600</v>
      </c>
      <c r="E12" s="10">
        <v>600</v>
      </c>
    </row>
    <row r="13" spans="1:8">
      <c r="A13" s="14" t="s">
        <v>23</v>
      </c>
      <c r="B13" s="10">
        <v>1275</v>
      </c>
      <c r="C13" s="10"/>
      <c r="D13" s="10">
        <v>300</v>
      </c>
      <c r="E13" s="10">
        <v>1575</v>
      </c>
    </row>
    <row r="14" spans="1:8">
      <c r="A14" s="13" t="s">
        <v>38</v>
      </c>
      <c r="B14" s="10">
        <v>1275</v>
      </c>
      <c r="C14" s="10">
        <v>45</v>
      </c>
      <c r="D14" s="10">
        <v>2870</v>
      </c>
      <c r="E14" s="10">
        <v>4190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92E1-A524-4468-9DE3-811E239E00D5}">
  <dimension ref="B1:I2"/>
  <sheetViews>
    <sheetView showGridLines="0" tabSelected="1" workbookViewId="0">
      <selection activeCell="K20" sqref="K20"/>
    </sheetView>
  </sheetViews>
  <sheetFormatPr defaultRowHeight="14.4"/>
  <cols>
    <col min="5" max="5" width="10.5546875" customWidth="1"/>
    <col min="6" max="6" width="12.88671875" customWidth="1"/>
    <col min="8" max="8" width="12.88671875" customWidth="1"/>
    <col min="9" max="9" width="11.21875" customWidth="1"/>
  </cols>
  <sheetData>
    <row r="1" spans="2:9" ht="21" customHeight="1">
      <c r="B1" s="15" t="s">
        <v>44</v>
      </c>
      <c r="C1" s="15"/>
      <c r="E1" s="15" t="s">
        <v>45</v>
      </c>
      <c r="F1" s="15"/>
      <c r="H1" s="15" t="s">
        <v>46</v>
      </c>
      <c r="I1" s="15"/>
    </row>
    <row r="2" spans="2:9" ht="21" customHeight="1">
      <c r="B2" s="16">
        <f>GETPIVOTDATA("Gross_Revenue",Pivot_Analysis!$A$3)</f>
        <v>4190</v>
      </c>
      <c r="C2" s="16"/>
      <c r="E2" s="16">
        <f>SUM('Raw Orders'!D2:D8)</f>
        <v>47</v>
      </c>
      <c r="F2" s="16"/>
      <c r="H2" s="16">
        <f>COUNTA('Raw Orders'!A2:A8)</f>
        <v>7</v>
      </c>
      <c r="I2" s="16"/>
    </row>
  </sheetData>
  <sheetProtection sheet="1" objects="1" scenarios="1"/>
  <mergeCells count="6">
    <mergeCell ref="B1:C1"/>
    <mergeCell ref="B2:C2"/>
    <mergeCell ref="E1:F1"/>
    <mergeCell ref="E2:F2"/>
    <mergeCell ref="H1:I1"/>
    <mergeCell ref="H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FAF1-172E-46CC-A23A-789B14A2A174}">
  <dimension ref="A1:J8"/>
  <sheetViews>
    <sheetView workbookViewId="0">
      <selection activeCell="F5" sqref="A2:J8"/>
    </sheetView>
  </sheetViews>
  <sheetFormatPr defaultRowHeight="14.4"/>
  <cols>
    <col min="1" max="1" width="10.33203125" bestFit="1" customWidth="1"/>
    <col min="2" max="2" width="13.5546875" bestFit="1" customWidth="1"/>
    <col min="3" max="3" width="14.5546875" bestFit="1" customWidth="1"/>
    <col min="4" max="4" width="11.5546875" bestFit="1" customWidth="1"/>
    <col min="5" max="5" width="22.88671875" bestFit="1" customWidth="1"/>
    <col min="6" max="6" width="14.5546875" bestFit="1" customWidth="1"/>
    <col min="7" max="7" width="18.21875" bestFit="1" customWidth="1"/>
    <col min="8" max="8" width="14" bestFit="1" customWidth="1"/>
    <col min="9" max="9" width="15.77734375" bestFit="1" customWidth="1"/>
    <col min="10" max="10" width="11.66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</row>
    <row r="2" spans="1:10">
      <c r="A2" s="10" t="s">
        <v>4</v>
      </c>
      <c r="B2" s="10" t="s">
        <v>5</v>
      </c>
      <c r="C2" s="10" t="s">
        <v>6</v>
      </c>
      <c r="D2">
        <v>5</v>
      </c>
      <c r="E2" s="10" t="s">
        <v>21</v>
      </c>
      <c r="F2" s="10" t="s">
        <v>22</v>
      </c>
      <c r="G2">
        <v>150</v>
      </c>
      <c r="H2" s="10" t="str">
        <f t="shared" ref="H2:H8" si="0">MID(C2,6,4)</f>
        <v>9921</v>
      </c>
      <c r="I2" s="10">
        <f t="shared" ref="I2:I8" si="1">D2*G2</f>
        <v>750</v>
      </c>
      <c r="J2" s="11" t="str">
        <f t="shared" ref="J2:J8" si="2">IF(I2&gt;=1000,"High-Value",IF(I2&gt;=300,"Standard","Low-Value"))</f>
        <v>Standard</v>
      </c>
    </row>
    <row r="3" spans="1:10">
      <c r="A3" s="10" t="s">
        <v>10</v>
      </c>
      <c r="B3" s="10" t="s">
        <v>11</v>
      </c>
      <c r="C3" s="10" t="s">
        <v>6</v>
      </c>
      <c r="D3">
        <v>2</v>
      </c>
      <c r="E3" s="10" t="s">
        <v>23</v>
      </c>
      <c r="F3" s="10" t="s">
        <v>24</v>
      </c>
      <c r="G3">
        <v>150</v>
      </c>
      <c r="H3" s="10" t="str">
        <f t="shared" si="0"/>
        <v>9921</v>
      </c>
      <c r="I3" s="10">
        <f t="shared" si="1"/>
        <v>300</v>
      </c>
      <c r="J3" s="10" t="str">
        <f t="shared" si="2"/>
        <v>Standard</v>
      </c>
    </row>
    <row r="4" spans="1:10">
      <c r="A4" s="10" t="s">
        <v>12</v>
      </c>
      <c r="B4" s="10" t="s">
        <v>5</v>
      </c>
      <c r="C4" s="10" t="s">
        <v>13</v>
      </c>
      <c r="D4">
        <v>8</v>
      </c>
      <c r="E4" s="10" t="s">
        <v>21</v>
      </c>
      <c r="F4" s="10" t="s">
        <v>22</v>
      </c>
      <c r="G4">
        <v>85</v>
      </c>
      <c r="H4" s="10" t="str">
        <f t="shared" si="0"/>
        <v>8815</v>
      </c>
      <c r="I4" s="10">
        <f t="shared" si="1"/>
        <v>680</v>
      </c>
      <c r="J4" s="10" t="str">
        <f t="shared" si="2"/>
        <v>Standard</v>
      </c>
    </row>
    <row r="5" spans="1:10">
      <c r="A5" s="10" t="s">
        <v>7</v>
      </c>
      <c r="B5" s="10" t="s">
        <v>8</v>
      </c>
      <c r="C5" s="10" t="s">
        <v>9</v>
      </c>
      <c r="D5">
        <v>12</v>
      </c>
      <c r="E5" s="10" t="s">
        <v>27</v>
      </c>
      <c r="F5" s="10" t="s">
        <v>28</v>
      </c>
      <c r="G5">
        <v>45</v>
      </c>
      <c r="H5" s="10" t="str">
        <f t="shared" si="0"/>
        <v>4012</v>
      </c>
      <c r="I5" s="10">
        <f t="shared" si="1"/>
        <v>540</v>
      </c>
      <c r="J5" s="10" t="str">
        <f t="shared" si="2"/>
        <v>Standard</v>
      </c>
    </row>
    <row r="6" spans="1:10">
      <c r="A6" s="10" t="s">
        <v>16</v>
      </c>
      <c r="B6" s="10" t="s">
        <v>11</v>
      </c>
      <c r="C6" s="10" t="s">
        <v>13</v>
      </c>
      <c r="D6">
        <v>15</v>
      </c>
      <c r="E6" s="10" t="s">
        <v>23</v>
      </c>
      <c r="F6" s="10" t="s">
        <v>24</v>
      </c>
      <c r="G6">
        <v>85</v>
      </c>
      <c r="H6" s="10" t="str">
        <f t="shared" si="0"/>
        <v>8815</v>
      </c>
      <c r="I6" s="10">
        <f t="shared" si="1"/>
        <v>1275</v>
      </c>
      <c r="J6" s="10" t="str">
        <f t="shared" si="2"/>
        <v>High-Value</v>
      </c>
    </row>
    <row r="7" spans="1:10">
      <c r="A7" s="10" t="s">
        <v>14</v>
      </c>
      <c r="B7" s="10" t="s">
        <v>15</v>
      </c>
      <c r="C7" s="10" t="s">
        <v>9</v>
      </c>
      <c r="D7">
        <v>1</v>
      </c>
      <c r="E7" s="10" t="s">
        <v>25</v>
      </c>
      <c r="F7" s="10" t="s">
        <v>26</v>
      </c>
      <c r="G7">
        <v>45</v>
      </c>
      <c r="H7" s="10" t="str">
        <f t="shared" si="0"/>
        <v>4012</v>
      </c>
      <c r="I7" s="10">
        <f t="shared" si="1"/>
        <v>45</v>
      </c>
      <c r="J7" s="10" t="str">
        <f t="shared" si="2"/>
        <v>Low-Value</v>
      </c>
    </row>
    <row r="8" spans="1:10">
      <c r="A8" s="10" t="s">
        <v>17</v>
      </c>
      <c r="B8" s="10" t="s">
        <v>18</v>
      </c>
      <c r="C8" s="10" t="s">
        <v>6</v>
      </c>
      <c r="D8">
        <v>4</v>
      </c>
      <c r="E8" s="10" t="s">
        <v>29</v>
      </c>
      <c r="F8" s="10" t="s">
        <v>24</v>
      </c>
      <c r="G8">
        <v>150</v>
      </c>
      <c r="H8" s="10" t="str">
        <f t="shared" si="0"/>
        <v>9921</v>
      </c>
      <c r="I8" s="10">
        <f t="shared" si="1"/>
        <v>600</v>
      </c>
      <c r="J8" s="10" t="str">
        <f t="shared" si="2"/>
        <v>Standard</v>
      </c>
    </row>
  </sheetData>
  <phoneticPr fontId="3" type="noConversion"/>
  <conditionalFormatting sqref="J2:J8">
    <cfRule type="containsText" dxfId="0" priority="2" operator="containsText" text="High_Value">
      <formula>NOT(ISERROR(SEARCH("High_Value",J2)))</formula>
    </cfRule>
    <cfRule type="containsText" dxfId="1" priority="1" operator="containsText" text="High-Value">
      <formula>NOT(ISERROR(SEARCH("High-Value",J2)))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7AEC-302F-479D-AB8E-F9B2B3DD0463}">
  <dimension ref="A1:D8"/>
  <sheetViews>
    <sheetView workbookViewId="0">
      <selection activeCell="B6" sqref="B6"/>
    </sheetView>
  </sheetViews>
  <sheetFormatPr defaultRowHeight="14.4"/>
  <cols>
    <col min="1" max="1" width="10.88671875" customWidth="1"/>
    <col min="2" max="2" width="14.33203125" customWidth="1"/>
    <col min="3" max="3" width="15.5546875" customWidth="1"/>
    <col min="4" max="4" width="12.44140625" customWidth="1"/>
  </cols>
  <sheetData>
    <row r="1" spans="1:4" ht="24">
      <c r="A1" s="4" t="s">
        <v>0</v>
      </c>
      <c r="B1" s="5" t="s">
        <v>1</v>
      </c>
      <c r="C1" s="5" t="s">
        <v>2</v>
      </c>
      <c r="D1" s="6" t="s">
        <v>3</v>
      </c>
    </row>
    <row r="2" spans="1:4">
      <c r="A2" s="2" t="s">
        <v>4</v>
      </c>
      <c r="B2" s="1" t="s">
        <v>5</v>
      </c>
      <c r="C2" s="1" t="s">
        <v>6</v>
      </c>
      <c r="D2" s="3">
        <v>5</v>
      </c>
    </row>
    <row r="3" spans="1:4">
      <c r="A3" s="2" t="s">
        <v>7</v>
      </c>
      <c r="B3" s="1" t="s">
        <v>8</v>
      </c>
      <c r="C3" s="1" t="s">
        <v>9</v>
      </c>
      <c r="D3" s="3">
        <v>12</v>
      </c>
    </row>
    <row r="4" spans="1:4">
      <c r="A4" s="2" t="s">
        <v>10</v>
      </c>
      <c r="B4" s="1" t="s">
        <v>11</v>
      </c>
      <c r="C4" s="1" t="s">
        <v>6</v>
      </c>
      <c r="D4" s="3">
        <v>2</v>
      </c>
    </row>
    <row r="5" spans="1:4">
      <c r="A5" s="2" t="s">
        <v>12</v>
      </c>
      <c r="B5" s="1" t="s">
        <v>5</v>
      </c>
      <c r="C5" s="1" t="s">
        <v>13</v>
      </c>
      <c r="D5" s="3">
        <v>8</v>
      </c>
    </row>
    <row r="6" spans="1:4">
      <c r="A6" s="2" t="s">
        <v>14</v>
      </c>
      <c r="B6" s="1" t="s">
        <v>15</v>
      </c>
      <c r="C6" s="1" t="s">
        <v>9</v>
      </c>
      <c r="D6" s="3">
        <v>1</v>
      </c>
    </row>
    <row r="7" spans="1:4">
      <c r="A7" s="2" t="s">
        <v>16</v>
      </c>
      <c r="B7" s="1" t="s">
        <v>11</v>
      </c>
      <c r="C7" s="1" t="s">
        <v>13</v>
      </c>
      <c r="D7" s="3">
        <v>15</v>
      </c>
    </row>
    <row r="8" spans="1:4">
      <c r="A8" s="7" t="s">
        <v>17</v>
      </c>
      <c r="B8" s="8" t="s">
        <v>18</v>
      </c>
      <c r="C8" s="8" t="s">
        <v>6</v>
      </c>
      <c r="D8" s="9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3CB3-16B0-4315-BFFD-780D6A05E3F2}">
  <dimension ref="A1:C6"/>
  <sheetViews>
    <sheetView workbookViewId="0"/>
  </sheetViews>
  <sheetFormatPr defaultRowHeight="14.4"/>
  <cols>
    <col min="1" max="1" width="13.88671875" bestFit="1" customWidth="1"/>
    <col min="2" max="2" width="17.21875" bestFit="1" customWidth="1"/>
    <col min="3" max="3" width="8.77734375" bestFit="1" customWidth="1"/>
  </cols>
  <sheetData>
    <row r="1" spans="1:3">
      <c r="A1" t="s">
        <v>1</v>
      </c>
      <c r="B1" t="s">
        <v>19</v>
      </c>
      <c r="C1" t="s">
        <v>20</v>
      </c>
    </row>
    <row r="2" spans="1:3">
      <c r="A2" s="10" t="s">
        <v>5</v>
      </c>
      <c r="B2" s="10" t="s">
        <v>21</v>
      </c>
      <c r="C2" s="10" t="s">
        <v>22</v>
      </c>
    </row>
    <row r="3" spans="1:3">
      <c r="A3" s="10" t="s">
        <v>11</v>
      </c>
      <c r="B3" s="10" t="s">
        <v>23</v>
      </c>
      <c r="C3" s="10" t="s">
        <v>24</v>
      </c>
    </row>
    <row r="4" spans="1:3">
      <c r="A4" s="10" t="s">
        <v>15</v>
      </c>
      <c r="B4" s="10" t="s">
        <v>25</v>
      </c>
      <c r="C4" s="10" t="s">
        <v>26</v>
      </c>
    </row>
    <row r="5" spans="1:3">
      <c r="A5" s="10" t="s">
        <v>8</v>
      </c>
      <c r="B5" s="10" t="s">
        <v>27</v>
      </c>
      <c r="C5" s="10" t="s">
        <v>28</v>
      </c>
    </row>
    <row r="6" spans="1:3">
      <c r="A6" s="10" t="s">
        <v>18</v>
      </c>
      <c r="B6" s="10" t="s">
        <v>29</v>
      </c>
      <c r="C6" s="10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B121-01D0-488E-92F8-CDFE503624CE}">
  <dimension ref="A1:C6"/>
  <sheetViews>
    <sheetView workbookViewId="0">
      <selection activeCell="A3" sqref="A3"/>
    </sheetView>
  </sheetViews>
  <sheetFormatPr defaultColWidth="16.6640625" defaultRowHeight="14.4"/>
  <cols>
    <col min="1" max="1" width="14.33203125" customWidth="1"/>
    <col min="2" max="2" width="17.5546875" customWidth="1"/>
    <col min="3" max="3" width="9.109375" customWidth="1"/>
  </cols>
  <sheetData>
    <row r="1" spans="1:3">
      <c r="A1" s="4" t="s">
        <v>1</v>
      </c>
      <c r="B1" s="5" t="s">
        <v>19</v>
      </c>
      <c r="C1" s="6" t="s">
        <v>20</v>
      </c>
    </row>
    <row r="2" spans="1:3">
      <c r="A2" s="2" t="s">
        <v>5</v>
      </c>
      <c r="B2" s="1" t="s">
        <v>21</v>
      </c>
      <c r="C2" s="3" t="s">
        <v>22</v>
      </c>
    </row>
    <row r="3" spans="1:3">
      <c r="A3" s="2" t="s">
        <v>11</v>
      </c>
      <c r="B3" s="1" t="s">
        <v>23</v>
      </c>
      <c r="C3" s="3" t="s">
        <v>24</v>
      </c>
    </row>
    <row r="4" spans="1:3">
      <c r="A4" s="2" t="s">
        <v>15</v>
      </c>
      <c r="B4" s="1" t="s">
        <v>25</v>
      </c>
      <c r="C4" s="3" t="s">
        <v>26</v>
      </c>
    </row>
    <row r="5" spans="1:3">
      <c r="A5" s="2" t="s">
        <v>8</v>
      </c>
      <c r="B5" s="1" t="s">
        <v>27</v>
      </c>
      <c r="C5" s="3" t="s">
        <v>28</v>
      </c>
    </row>
    <row r="6" spans="1:3">
      <c r="A6" s="7" t="s">
        <v>18</v>
      </c>
      <c r="B6" s="8" t="s">
        <v>29</v>
      </c>
      <c r="C6" s="9" t="s">
        <v>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75BE-CE38-40D0-8ED6-756D1579F444}">
  <dimension ref="A1:B4"/>
  <sheetViews>
    <sheetView workbookViewId="0"/>
  </sheetViews>
  <sheetFormatPr defaultRowHeight="14.4"/>
  <cols>
    <col min="1" max="1" width="12.33203125" bestFit="1" customWidth="1"/>
    <col min="2" max="2" width="14.88671875" bestFit="1" customWidth="1"/>
  </cols>
  <sheetData>
    <row r="1" spans="1:2">
      <c r="A1" t="s">
        <v>30</v>
      </c>
      <c r="B1" t="s">
        <v>2</v>
      </c>
    </row>
    <row r="2" spans="1:2">
      <c r="A2">
        <v>150</v>
      </c>
      <c r="B2" s="10" t="s">
        <v>6</v>
      </c>
    </row>
    <row r="3" spans="1:2">
      <c r="A3">
        <v>45</v>
      </c>
      <c r="B3" s="10" t="s">
        <v>9</v>
      </c>
    </row>
    <row r="4" spans="1:2">
      <c r="A4">
        <v>85</v>
      </c>
      <c r="B4" s="10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3948-1DD1-493A-A97B-73C47F91886C}">
  <dimension ref="A1:B4"/>
  <sheetViews>
    <sheetView workbookViewId="0">
      <selection activeCell="A3" sqref="A3"/>
    </sheetView>
  </sheetViews>
  <sheetFormatPr defaultColWidth="21.6640625" defaultRowHeight="14.4"/>
  <cols>
    <col min="1" max="1" width="13.21875" customWidth="1"/>
    <col min="2" max="2" width="15.5546875" customWidth="1"/>
  </cols>
  <sheetData>
    <row r="1" spans="1:2">
      <c r="A1" s="4" t="s">
        <v>30</v>
      </c>
      <c r="B1" s="6" t="s">
        <v>2</v>
      </c>
    </row>
    <row r="2" spans="1:2">
      <c r="A2" s="2">
        <v>150</v>
      </c>
      <c r="B2" s="3" t="s">
        <v>6</v>
      </c>
    </row>
    <row r="3" spans="1:2">
      <c r="A3" s="2">
        <v>45</v>
      </c>
      <c r="B3" s="3" t="s">
        <v>9</v>
      </c>
    </row>
    <row r="4" spans="1:2">
      <c r="A4" s="7">
        <v>85</v>
      </c>
      <c r="B4" s="9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0F1DB2-F475-4668-ACF5-861AB30D2A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Pivot_Analysis</vt:lpstr>
      <vt:lpstr>Executive_Dashboard</vt:lpstr>
      <vt:lpstr>Clean_Data_Warehouse</vt:lpstr>
      <vt:lpstr>Raw Orders</vt:lpstr>
      <vt:lpstr>Table2</vt:lpstr>
      <vt:lpstr>Master_Customers</vt:lpstr>
      <vt:lpstr>Table3</vt:lpstr>
      <vt:lpstr>Product_Catalog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Sanjeeth Durgam</dc:creator>
  <cp:lastModifiedBy>Sanjeeth Durgam</cp:lastModifiedBy>
  <dcterms:created xsi:type="dcterms:W3CDTF">2026-10-09T08:47:12Z</dcterms:created>
  <dcterms:modified xsi:type="dcterms:W3CDTF">2026-10-09T10:15:55Z</dcterms:modified>
</cp:coreProperties>
</file>